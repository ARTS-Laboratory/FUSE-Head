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8d35fc1f26fdcc/Documents/GitHub/FUSE-Head2/system_development/Pintail/v0.1.3/"/>
    </mc:Choice>
  </mc:AlternateContent>
  <xr:revisionPtr revIDLastSave="31" documentId="13_ncr:1_{F2BD1515-F05E-4D9B-A0D6-0380C64CFB2B}" xr6:coauthVersionLast="47" xr6:coauthVersionMax="47" xr10:uidLastSave="{6C2FD419-C946-4888-ACD8-6872553FB1E4}"/>
  <bookViews>
    <workbookView xWindow="-108" yWindow="-108" windowWidth="23256" windowHeight="13896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2" i="1"/>
  <c r="G4" i="1"/>
  <c r="G23" i="1" l="1"/>
</calcChain>
</file>

<file path=xl/sharedStrings.xml><?xml version="1.0" encoding="utf-8"?>
<sst xmlns="http://schemas.openxmlformats.org/spreadsheetml/2006/main" count="41" uniqueCount="34">
  <si>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</si>
  <si>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</si>
  <si>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</si>
  <si>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</si>
  <si>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</si>
  <si>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</si>
  <si>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</si>
  <si>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</si>
  <si>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</si>
  <si>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</si>
  <si>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</si>
  <si>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</si>
  <si>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Primary or Alternative Part</t>
  </si>
  <si>
    <t>Primary</t>
  </si>
  <si>
    <t>Creality/eBay</t>
  </si>
  <si>
    <t>Ender-3 V3 se</t>
  </si>
  <si>
    <t>https://store.creality.com/products/ender-3-v3-se-3d-printer?spm=..product_accf228c-979f-450e-90b4-4d88e008979f.0.1</t>
  </si>
  <si>
    <t>3D printer</t>
  </si>
  <si>
    <t>Amount</t>
  </si>
  <si>
    <t>Total Cost</t>
  </si>
  <si>
    <t>https://ebay.io/m/f6G3qt</t>
  </si>
  <si>
    <t>MB1530F/M</t>
  </si>
  <si>
    <t>https://www.ebay.com/itm/358877803352?_skw=Ender-3+V3+SE&amp;itmmeta=01M2TYF0HS0RC7X1RMY7WM5HW6&amp;hash=item538ec8b358:g:ddYAAOSwXoJnY9nE&amp;itmprp=enc%3AAQALAAAA8GfYFPkwiKCW4ZNSs2u11xA2EPZJQPcGE1EAq1tC18dEeFGkmdw%2FO3yULJCb%2FLgEIYOCE3MprIc5tdL%2BIOKs%2BUZ09USxeZvzKKTDMYC8HRTUEG2s73wZ6c2uZACigKpDz1AC0B9eT16UwF2jKtSmd4%2F3dPsAADyPIxcKus3D1nQFbdMHV%2BL6OvEO%2F%2BH0rKUtRlpy7TOHvso5eF1cIrnV4Ff21qKD4mrOmTSiVrft4rttj1kG2ouSakaqG7YIsw1D8D6p6wIbX%2FQVWkZP6tPh9uarYM6ylgndHiyrIbIOZjTWNA6JZlBZ7zKYJHhHLBb0sw%3D%3D%7Ctkp%3ABk9SR-KJvN6WaA</t>
  </si>
  <si>
    <t>https://ebay.io/m/Pv82yd</t>
  </si>
  <si>
    <t>eBay</t>
  </si>
  <si>
    <t>Profilometer</t>
  </si>
  <si>
    <t>optoNCDT 1420</t>
  </si>
  <si>
    <t>https://ebay.io/m/m0SpLD</t>
  </si>
  <si>
    <t>MICRO EPSILON CT-SF15-C3</t>
  </si>
  <si>
    <t>Pyrometer</t>
  </si>
  <si>
    <t>Base Plate(200x100x12mm)</t>
  </si>
  <si>
    <t>AliExpress</t>
  </si>
  <si>
    <t>Base Plate(300x150x12.7mm)</t>
  </si>
  <si>
    <t>eBay/Thorlabs/AliExpress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</si>
</sst>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0"/>
      <name val="Aptos Narrow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  <xf numFmtId="8" fontId="0" fillId="0" borderId="0" xfId="0" applyNumberFormat="1"/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bay.io/m/m0SpL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bay.io/m/Pv82yd" TargetMode="External"/><Relationship Id="rId1" Type="http://schemas.openxmlformats.org/officeDocument/2006/relationships/hyperlink" Target="https://ebay.io/m/f6G3qt" TargetMode="External"/><Relationship Id="rId6" Type="http://schemas.openxmlformats.org/officeDocument/2006/relationships/hyperlink" Target="https://www.aliexpress.us/item/3256806901953664.html?gatewayAdapt=glo2usa4itemAdapt" TargetMode="External"/><Relationship Id="rId5" Type="http://schemas.openxmlformats.org/officeDocument/2006/relationships/hyperlink" Target="https://www.aliexpress.us/item/3256812969807445.html?spm=a2g0o.cart.0.0.1a0938daktEsZU&amp;mp=1&amp;pdp_npi=6%40dis%21USD%21USD+90.62%21USD+63.43%21%21USD+59.91%21%21%21%402103119c17902608001408283e1183%2112000060360075217%21ct%21US%212130805845%21%212%210%21&amp;_gl=1i9bgtp_gcl_awR0NMLjE3ODc4NDE3ODEuQ2p3S0NBand3TF9VQmhBakVpd0FFaHVUNVBJbndFazFmS0llb1d6dE5zQWpmaVFrR3paZVdpbkU2dlExSU90MU9QRExoMXZzNDhTeG5ob0NoR0lRQXZEX0J3RQ.._gcl_dcR0NMLjE3ODc4NDE3ODEuQ2p3S0NBand3TF9VQmhBakVpd0FFaHVUNVBJbndFazFmS0llb1d6dE5zQWpmaVFrR3paZVdpbkU2dlExSU90MU9QRExoMXZzNDhTeG5ob0NoR0lRQXZEX0J3RQ.._gcl_auMzI2ODk5NDg1LjE3ODY0NjE4MTI._gaMTk2MDMwMzYxOS4xNzkwMjYwNTUy_ga_VED1YSGNC7czE3OTAyNjA1NTEkbzEkZzEkdDE3OTAyNjA4MDAkajM0JGwwJGgw&amp;gatewayAdapt=glo2usa" TargetMode="External"/><Relationship Id="rId4" Type="http://schemas.openxmlformats.org/officeDocument/2006/relationships/hyperlink" Target="https://nam02.safelinks.protection.outlook.com/?url=https%3A%2F%2Fstore.creality.com%2Fproducts%2Fender-3-v3-se-3d-printer%3Fspm%3D..product_accf228c-979f-450e-90b4-4d88e008979f.0.1&amp;data=05%7C02%7CJHPARKER%40email.sc.edu%7Ca352611c2134487fcf1808df150dcc02%7C4b2a4b19d135420e8bb2b1cd238998cc%7C0%7C0%7C639252821129488256%7CUnknown%7CTWFpbGZsb3d8eyJFbXB0eU1hcGkiOnRydWUsIlYiOiIwLjAuMDAwMCIsIlAiOiJXaW4zMiIsIkFOIjoiTWFpbCIsIldUIjoyfQ%3D%3D%7C0%7C%7C%7C&amp;sdata=VJaeAAT8rnG%2FPhk3%2Bme9G0Ml1MFBbcEWWrzPLMmHcYQ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23"/>
  <sheetViews>
    <sheetView tabSelected="1" zoomScaleNormal="100" workbookViewId="0">
      <selection activeCell="C16" sqref="C16"/>
    </sheetView>
  </sheetViews>
  <sheetFormatPr defaultColWidth="8.88671875" defaultRowHeight="14.4" x14ac:dyDescent="0.3"/>
  <cols>
    <col min="1" max="2" width="27.44140625" customWidth="1"/>
    <col min="3" max="3" width="37.88671875" customWidth="1"/>
    <col min="4" max="4" width="20.5546875" customWidth="1"/>
    <col min="5" max="5" width="15.88671875" bestFit="1" customWidth="1"/>
    <col min="6" max="6" width="13.44140625" bestFit="1" customWidth="1"/>
    <col min="7" max="7" width="18" customWidth="1"/>
    <col min="8" max="8" width="13" customWidth="1"/>
    <col min="9" max="9" width="79" bestFit="1" customWidth="1"/>
    <col min="10" max="10" width="45.44140625" bestFit="1" customWidth="1"/>
    <col min="11" max="11" width="83.44140625" customWidth="1"/>
    <col min="12" max="12" width="62.44140625" customWidth="1"/>
    <col min="13" max="13" width="55.88671875" customWidth="1"/>
    <col min="14" max="14" width="51" customWidth="1"/>
  </cols>
  <sheetData>
    <row r="1" spans="1:14" ht="15" customHeight="1" x14ac:dyDescent="0.3">
      <c r="A1" s="6" t="s">
        <v>10</v>
      </c>
      <c r="B1" s="6" t="s">
        <v>12</v>
      </c>
      <c r="C1" s="6" t="s">
        <v>11</v>
      </c>
      <c r="D1" s="6" t="s">
        <v>9</v>
      </c>
      <c r="E1" s="6" t="s">
        <v>18</v>
      </c>
      <c r="F1" s="6" t="s">
        <v>0</v>
      </c>
      <c r="G1" s="6" t="s">
        <v>19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3">
      <c r="A2" t="s">
        <v>17</v>
      </c>
      <c r="B2" s="17" t="s">
        <v>13</v>
      </c>
      <c r="C2" s="16" t="s">
        <v>14</v>
      </c>
      <c r="D2" s="4" t="s">
        <v>15</v>
      </c>
      <c r="E2" s="19">
        <v>2</v>
      </c>
      <c r="F2" s="9">
        <v>109</v>
      </c>
      <c r="G2" s="9">
        <f>E2*F2</f>
        <v>218</v>
      </c>
      <c r="H2" s="5"/>
      <c r="I2" s="1" t="s">
        <v>16</v>
      </c>
      <c r="J2" s="1" t="s">
        <v>22</v>
      </c>
      <c r="K2" s="3"/>
    </row>
    <row r="3" spans="1:14" ht="15" customHeight="1" x14ac:dyDescent="0.3">
      <c r="A3" t="s">
        <v>30</v>
      </c>
      <c r="B3" s="17" t="s">
        <v>13</v>
      </c>
      <c r="C3" s="16" t="s">
        <v>31</v>
      </c>
      <c r="D3" s="4"/>
      <c r="E3" s="19">
        <v>2</v>
      </c>
      <c r="F3" s="9">
        <v>39.590000000000003</v>
      </c>
      <c r="G3" s="9">
        <v>79.180000000000007</v>
      </c>
      <c r="H3" s="5"/>
      <c r="I3" s="1" t="s">
        <v>31</v>
      </c>
      <c r="J3" s="1"/>
    </row>
    <row r="4" spans="1:14" ht="15" customHeight="1" x14ac:dyDescent="0.3">
      <c r="A4" s="18" t="s">
        <v>32</v>
      </c>
      <c r="B4" s="17" t="s">
        <v>13</v>
      </c>
      <c r="C4" s="2" t="s">
        <v>33</v>
      </c>
      <c r="D4" s="4" t="s">
        <v>21</v>
      </c>
      <c r="E4" s="19">
        <v>2</v>
      </c>
      <c r="F4" s="9">
        <v>89</v>
      </c>
      <c r="G4" s="9">
        <f>E4*F4</f>
        <v>178</v>
      </c>
      <c r="H4" s="5"/>
      <c r="I4" s="1" t="s">
        <v>20</v>
      </c>
      <c r="J4" s="3" t="s">
        <v>31</v>
      </c>
      <c r="K4" s="3"/>
      <c r="L4" s="3"/>
    </row>
    <row r="5" spans="1:14" ht="15" customHeight="1" x14ac:dyDescent="0.3">
      <c r="A5" t="s">
        <v>25</v>
      </c>
      <c r="B5" s="17" t="s">
        <v>13</v>
      </c>
      <c r="C5" s="16" t="s">
        <v>24</v>
      </c>
      <c r="D5" s="4" t="s">
        <v>26</v>
      </c>
      <c r="E5" s="19">
        <v>1</v>
      </c>
      <c r="F5" s="9">
        <v>717.57</v>
      </c>
      <c r="G5" s="9">
        <f>E5*F5</f>
        <v>717.57</v>
      </c>
      <c r="H5" s="5"/>
      <c r="I5" s="21" t="s">
        <v>23</v>
      </c>
      <c r="L5" s="3"/>
    </row>
    <row r="6" spans="1:14" ht="15" customHeight="1" x14ac:dyDescent="0.3">
      <c r="A6" t="s">
        <v>29</v>
      </c>
      <c r="B6" s="17" t="s">
        <v>13</v>
      </c>
      <c r="C6" t="s">
        <v>24</v>
      </c>
      <c r="D6" s="2" t="s">
        <v>28</v>
      </c>
      <c r="E6" s="19">
        <v>1</v>
      </c>
      <c r="F6" s="22">
        <v>836</v>
      </c>
      <c r="G6" s="22">
        <f>E6*F6</f>
        <v>836</v>
      </c>
      <c r="I6" s="1" t="s">
        <v>27</v>
      </c>
    </row>
    <row r="7" spans="1:14" ht="15" customHeight="1" x14ac:dyDescent="0.3">
      <c r="B7" s="17"/>
      <c r="C7" s="2"/>
      <c r="D7" s="20"/>
      <c r="E7" s="2"/>
      <c r="F7" s="9"/>
      <c r="G7" s="9"/>
      <c r="H7" s="5"/>
      <c r="J7" s="1"/>
    </row>
    <row r="8" spans="1:14" ht="15" customHeight="1" x14ac:dyDescent="0.3">
      <c r="A8" s="10"/>
      <c r="B8" s="17"/>
      <c r="C8" s="2"/>
      <c r="D8" s="20"/>
      <c r="E8" s="2"/>
      <c r="F8" s="9"/>
      <c r="G8" s="9"/>
      <c r="H8" s="5"/>
      <c r="I8" s="1"/>
      <c r="J8" s="1"/>
    </row>
    <row r="9" spans="1:14" ht="15" customHeight="1" x14ac:dyDescent="0.3">
      <c r="A9" s="10"/>
      <c r="B9" s="17"/>
      <c r="C9" s="2"/>
      <c r="D9" s="20"/>
      <c r="E9" s="2"/>
      <c r="F9" s="9"/>
      <c r="G9" s="9"/>
      <c r="H9" s="5"/>
      <c r="I9" s="1"/>
      <c r="J9" s="4"/>
    </row>
    <row r="10" spans="1:14" ht="15" customHeight="1" x14ac:dyDescent="0.3">
      <c r="A10" s="10"/>
      <c r="B10" s="10"/>
      <c r="C10" s="2"/>
      <c r="D10" s="20"/>
      <c r="E10" s="2"/>
      <c r="F10" s="9"/>
      <c r="G10" s="9"/>
      <c r="H10" s="5"/>
      <c r="I10" s="1"/>
      <c r="J10" s="4"/>
    </row>
    <row r="11" spans="1:14" ht="15" customHeight="1" x14ac:dyDescent="0.3">
      <c r="A11" s="10"/>
      <c r="B11" s="17"/>
      <c r="C11" s="2"/>
      <c r="D11" s="20"/>
      <c r="E11" s="2"/>
      <c r="F11" s="9"/>
      <c r="G11" s="9"/>
      <c r="H11" s="5"/>
      <c r="I11" s="1"/>
      <c r="J11" s="4"/>
    </row>
    <row r="12" spans="1:14" ht="15" customHeight="1" x14ac:dyDescent="0.3">
      <c r="A12" s="10"/>
      <c r="B12" s="17"/>
      <c r="C12" s="4"/>
      <c r="D12" s="20"/>
      <c r="E12" s="2"/>
      <c r="F12" s="9"/>
      <c r="G12" s="9"/>
      <c r="H12" s="5"/>
      <c r="I12" s="1"/>
      <c r="J12" s="4"/>
    </row>
    <row r="13" spans="1:14" ht="15" customHeight="1" x14ac:dyDescent="0.3">
      <c r="A13" s="10"/>
      <c r="B13" s="17"/>
      <c r="C13" s="2"/>
      <c r="D13" s="16"/>
      <c r="E13" s="2"/>
      <c r="F13" s="9"/>
      <c r="G13" s="9"/>
      <c r="H13" s="5"/>
      <c r="I13" s="1"/>
      <c r="J13" s="4"/>
    </row>
    <row r="14" spans="1:14" ht="15" customHeight="1" x14ac:dyDescent="0.3">
      <c r="A14" s="10"/>
      <c r="B14" s="17"/>
      <c r="C14" s="2"/>
      <c r="D14" s="20"/>
      <c r="E14" s="2"/>
      <c r="F14" s="9"/>
      <c r="G14" s="9"/>
      <c r="H14" s="5"/>
      <c r="I14" s="1"/>
      <c r="J14" s="4"/>
    </row>
    <row r="15" spans="1:14" ht="15" customHeight="1" x14ac:dyDescent="0.3">
      <c r="A15" s="10"/>
      <c r="B15" s="17"/>
      <c r="C15" s="2"/>
      <c r="D15" s="16"/>
      <c r="E15" s="2"/>
      <c r="F15" s="9"/>
      <c r="G15" s="9"/>
      <c r="H15" s="5"/>
      <c r="I15" s="1"/>
    </row>
    <row r="16" spans="1:14" ht="15" customHeight="1" x14ac:dyDescent="0.3">
      <c r="A16" s="10"/>
      <c r="B16" s="17"/>
      <c r="C16" s="2"/>
      <c r="D16" s="20"/>
      <c r="E16" s="2"/>
      <c r="F16" s="9"/>
      <c r="G16" s="9"/>
      <c r="H16" s="5"/>
      <c r="I16" s="1"/>
      <c r="J16" s="3"/>
    </row>
    <row r="17" spans="1:11" ht="15" customHeight="1" x14ac:dyDescent="0.3">
      <c r="A17" s="10"/>
      <c r="B17" s="10"/>
      <c r="C17" s="2"/>
      <c r="D17" s="20"/>
      <c r="E17" s="2"/>
      <c r="F17" s="9"/>
      <c r="G17" s="9"/>
      <c r="H17" s="5"/>
      <c r="I17" s="3"/>
      <c r="J17" s="4"/>
    </row>
    <row r="18" spans="1:11" ht="15" customHeight="1" x14ac:dyDescent="0.3">
      <c r="A18" s="10"/>
      <c r="B18" s="17"/>
      <c r="C18" s="2"/>
      <c r="D18" s="4"/>
      <c r="E18" s="2"/>
      <c r="F18" s="8"/>
      <c r="G18" s="9"/>
      <c r="H18" s="5"/>
      <c r="I18" s="3"/>
      <c r="J18" s="11"/>
      <c r="K18" s="11"/>
    </row>
    <row r="19" spans="1:11" ht="15" customHeight="1" x14ac:dyDescent="0.3">
      <c r="A19" s="11"/>
      <c r="B19" s="11"/>
      <c r="C19" s="11"/>
      <c r="D19" s="11"/>
      <c r="E19" s="12"/>
      <c r="F19" s="13"/>
      <c r="G19" s="9"/>
      <c r="H19" s="11"/>
      <c r="I19" s="11"/>
      <c r="J19" s="11"/>
      <c r="K19" s="11"/>
    </row>
    <row r="20" spans="1:11" ht="15" customHeight="1" x14ac:dyDescent="0.3">
      <c r="A20" s="11"/>
      <c r="B20" s="11"/>
      <c r="C20" s="11"/>
      <c r="D20" s="11"/>
      <c r="E20" s="12"/>
      <c r="F20" s="13"/>
      <c r="G20" s="9"/>
      <c r="H20" s="11"/>
    </row>
    <row r="21" spans="1:11" x14ac:dyDescent="0.3">
      <c r="A21" s="4"/>
      <c r="B21" s="4"/>
      <c r="C21" s="4"/>
      <c r="D21" s="14"/>
      <c r="E21" s="14"/>
      <c r="F21" s="15"/>
      <c r="G21" s="15"/>
      <c r="H21" s="4"/>
      <c r="I21" s="4"/>
    </row>
    <row r="22" spans="1:11" x14ac:dyDescent="0.3">
      <c r="F22" s="8"/>
      <c r="G22" s="8"/>
    </row>
    <row r="23" spans="1:11" x14ac:dyDescent="0.3">
      <c r="F23" s="7" t="s">
        <v>7</v>
      </c>
      <c r="G23" s="5">
        <f>SUM(G2:G22)</f>
        <v>2028.75</v>
      </c>
    </row>
  </sheetData>
  <phoneticPr fontId="3" type="noConversion"/>
  <hyperlinks>
    <hyperlink ref="I4" r:id="rId1" xr:uid="{7ADE7E6E-21C8-4F58-ACA1-5A38A4D4B861}"/>
    <hyperlink ref="I5" r:id="rId2" xr:uid="{FE117B5E-B3DD-4FD5-8F6E-A2763073C8B4}"/>
    <hyperlink ref="I6" r:id="rId3" xr:uid="{172CEEC9-8580-4E74-BBB5-A0629D854C08}"/>
    <hyperlink ref="I2" r:id="rId4" tooltip="Original URL: https://store.creality.com/products/ender-3-v3-se-3d-printer?spm=..product_accf228c-979f-450e-90b4-4d88e008979f.0.1. Click or tap if you trust this link." display="https://nam02.safelinks.protection.outlook.com/?url=https%3A%2F%2Fstore.creality.com%2Fproducts%2Fender-3-v3-se-3d-printer%3Fspm%3D..product_accf228c-979f-450e-90b4-4d88e008979f.0.1&amp;data=05%7C02%7CJHPARKER%40email.sc.edu%7Ca352611c2134487fcf1808df150dcc02%7C4b2a4b19d135420e8bb2b1cd238998cc%7C0%7C0%7C639252821129488256%7CUnknown%7CTWFpbGZsb3d8eyJFbXB0eU1hcGkiOnRydWUsIlYiOiIwLjAuMDAwMCIsIlAiOiJXaW4zMiIsIkFOIjoiTWFpbCIsIldUIjoyfQ%3D%3D%7C0%7C%7C%7C&amp;sdata=VJaeAAT8rnG%2FPhk3%2Bme9G0Ml1MFBbcEWWrzPLMmHcYQ%3D&amp;reserved=0" xr:uid="{27A3E46D-50E1-4DC7-B0D5-E25881E90590}"/>
    <hyperlink ref="J4" r:id="rId5" xr:uid="{B6ED6A72-4FD5-4E4F-BA83-5D6C407C86D7}"/>
    <hyperlink ref="I3" r:id="rId6" xr:uid="{95DA01EE-1CC0-42ED-B4EC-777EB3334406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Sammas Iqbal</cp:lastModifiedBy>
  <cp:lastPrinted>2025-05-01T19:35:57Z</cp:lastPrinted>
  <dcterms:created xsi:type="dcterms:W3CDTF">2025-03-06T14:44:50Z</dcterms:created>
  <dcterms:modified xsi:type="dcterms:W3CDTF">2026-09-24T17:25:04Z</dcterms:modified>
</cp:coreProperties>
</file>